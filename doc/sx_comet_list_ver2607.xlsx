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mhoo7/Desktop/data/spherex-comet/doc/"/>
    </mc:Choice>
  </mc:AlternateContent>
  <xr:revisionPtr revIDLastSave="0" documentId="13_ncr:1_{A69E5937-9A9E-9B46-96A0-851865DDD93E}" xr6:coauthVersionLast="47" xr6:coauthVersionMax="47" xr10:uidLastSave="{00000000-0000-0000-0000-000000000000}"/>
  <bookViews>
    <workbookView xWindow="51200" yWindow="6380" windowWidth="21600" windowHeight="37800" xr2:uid="{C317F7BE-8C99-A94D-B899-BEBA16B22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2" i="1" l="1"/>
  <c r="K72" i="1"/>
  <c r="J72" i="1"/>
  <c r="I72" i="1"/>
  <c r="H72" i="1"/>
  <c r="G72" i="1"/>
  <c r="F72" i="1"/>
  <c r="B72" i="1"/>
</calcChain>
</file>

<file path=xl/sharedStrings.xml><?xml version="1.0" encoding="utf-8"?>
<sst xmlns="http://schemas.openxmlformats.org/spreadsheetml/2006/main" count="112" uniqueCount="107">
  <si>
    <t>desig</t>
    <phoneticPr fontId="1" type="noConversion"/>
  </si>
  <si>
    <t>2P</t>
    <phoneticPr fontId="1" type="noConversion"/>
  </si>
  <si>
    <t>24P</t>
    <phoneticPr fontId="1" type="noConversion"/>
  </si>
  <si>
    <t>thermal</t>
    <phoneticPr fontId="1" type="noConversion"/>
  </si>
  <si>
    <t>29P</t>
    <phoneticPr fontId="1" type="noConversion"/>
  </si>
  <si>
    <t>43P</t>
    <phoneticPr fontId="1" type="noConversion"/>
  </si>
  <si>
    <t>10P</t>
    <phoneticPr fontId="1" type="noConversion"/>
  </si>
  <si>
    <t>47P</t>
    <phoneticPr fontId="1" type="noConversion"/>
  </si>
  <si>
    <t>145P</t>
    <phoneticPr fontId="1" type="noConversion"/>
  </si>
  <si>
    <t>171P</t>
    <phoneticPr fontId="1" type="noConversion"/>
  </si>
  <si>
    <t>229P</t>
    <phoneticPr fontId="1" type="noConversion"/>
  </si>
  <si>
    <t>240P</t>
    <phoneticPr fontId="1" type="noConversion"/>
  </si>
  <si>
    <t>302P</t>
    <phoneticPr fontId="1" type="noConversion"/>
  </si>
  <si>
    <t>306P</t>
    <phoneticPr fontId="1" type="noConversion"/>
  </si>
  <si>
    <t>486P</t>
    <phoneticPr fontId="1" type="noConversion"/>
  </si>
  <si>
    <t>499P</t>
    <phoneticPr fontId="1" type="noConversion"/>
  </si>
  <si>
    <t>2014 UN271</t>
    <phoneticPr fontId="1" type="noConversion"/>
  </si>
  <si>
    <t>2021 G2</t>
    <phoneticPr fontId="1" type="noConversion"/>
  </si>
  <si>
    <t>2022 E2</t>
    <phoneticPr fontId="1" type="noConversion"/>
  </si>
  <si>
    <t>2022 N2</t>
    <phoneticPr fontId="1" type="noConversion"/>
  </si>
  <si>
    <t>2022 QE78</t>
    <phoneticPr fontId="1" type="noConversion"/>
  </si>
  <si>
    <t>2023 A3</t>
    <phoneticPr fontId="1" type="noConversion"/>
  </si>
  <si>
    <t>2023 C2</t>
    <phoneticPr fontId="1" type="noConversion"/>
  </si>
  <si>
    <t>2023 H5</t>
    <phoneticPr fontId="1" type="noConversion"/>
  </si>
  <si>
    <t>2023 T3</t>
    <phoneticPr fontId="1" type="noConversion"/>
  </si>
  <si>
    <t>2023 U1</t>
    <phoneticPr fontId="1" type="noConversion"/>
  </si>
  <si>
    <t>2023 V1</t>
    <phoneticPr fontId="1" type="noConversion"/>
  </si>
  <si>
    <t>2024 E1</t>
    <phoneticPr fontId="1" type="noConversion"/>
  </si>
  <si>
    <t>2024 J2</t>
    <phoneticPr fontId="1" type="noConversion"/>
  </si>
  <si>
    <t>2024 T5</t>
    <phoneticPr fontId="1" type="noConversion"/>
  </si>
  <si>
    <t>2024 W1</t>
    <phoneticPr fontId="1" type="noConversion"/>
  </si>
  <si>
    <t>2025 L1</t>
    <phoneticPr fontId="1" type="noConversion"/>
  </si>
  <si>
    <t>2025 L2</t>
    <phoneticPr fontId="1" type="noConversion"/>
  </si>
  <si>
    <t>2025 O2</t>
    <phoneticPr fontId="1" type="noConversion"/>
  </si>
  <si>
    <t>2025 R1</t>
    <phoneticPr fontId="1" type="noConversion"/>
  </si>
  <si>
    <t>2025 R2</t>
    <phoneticPr fontId="1" type="noConversion"/>
  </si>
  <si>
    <t>2025 W2</t>
    <phoneticPr fontId="1" type="noConversion"/>
  </si>
  <si>
    <t>class</t>
    <phoneticPr fontId="1" type="noConversion"/>
  </si>
  <si>
    <t>h2o</t>
    <phoneticPr fontId="1" type="noConversion"/>
  </si>
  <si>
    <t>co</t>
    <phoneticPr fontId="1" type="noConversion"/>
  </si>
  <si>
    <t>co2</t>
    <phoneticPr fontId="1" type="noConversion"/>
  </si>
  <si>
    <t>notes</t>
    <phoneticPr fontId="1" type="noConversion"/>
  </si>
  <si>
    <t>rh_au</t>
    <phoneticPr fontId="1" type="noConversion"/>
  </si>
  <si>
    <t>2025 K1</t>
    <phoneticPr fontId="1" type="noConversion"/>
  </si>
  <si>
    <t>2025 A6</t>
    <phoneticPr fontId="1" type="noConversion"/>
  </si>
  <si>
    <t>cont</t>
    <phoneticPr fontId="1" type="noConversion"/>
  </si>
  <si>
    <t>yyyy_mm</t>
    <phoneticPr fontId="1" type="noConversion"/>
  </si>
  <si>
    <t>2024 J3</t>
    <phoneticPr fontId="1" type="noConversion"/>
  </si>
  <si>
    <t>2024 L5</t>
    <phoneticPr fontId="1" type="noConversion"/>
  </si>
  <si>
    <t>2024 N1</t>
    <phoneticPr fontId="1" type="noConversion"/>
  </si>
  <si>
    <t>2024 A1</t>
    <phoneticPr fontId="1" type="noConversion"/>
  </si>
  <si>
    <t>2023 RS61</t>
    <phoneticPr fontId="1" type="noConversion"/>
  </si>
  <si>
    <t>2023 R1</t>
    <phoneticPr fontId="1" type="noConversion"/>
  </si>
  <si>
    <t>* very clear CO2 morphology</t>
    <phoneticPr fontId="1" type="noConversion"/>
  </si>
  <si>
    <t>2023 F3</t>
    <phoneticPr fontId="1" type="noConversion"/>
  </si>
  <si>
    <t>* clear CO2 morphology</t>
    <phoneticPr fontId="1" type="noConversion"/>
  </si>
  <si>
    <t>2022 R6</t>
    <phoneticPr fontId="1" type="noConversion"/>
  </si>
  <si>
    <t>2022 R3</t>
    <phoneticPr fontId="1" type="noConversion"/>
  </si>
  <si>
    <t>2019 U5</t>
    <phoneticPr fontId="1" type="noConversion"/>
  </si>
  <si>
    <t>508P</t>
    <phoneticPr fontId="1" type="noConversion"/>
  </si>
  <si>
    <t>261P</t>
    <phoneticPr fontId="1" type="noConversion"/>
  </si>
  <si>
    <t>* clear fragments</t>
    <phoneticPr fontId="1" type="noConversion"/>
  </si>
  <si>
    <t>* faint</t>
    <phoneticPr fontId="1" type="noConversion"/>
  </si>
  <si>
    <t>217P</t>
    <phoneticPr fontId="1" type="noConversion"/>
  </si>
  <si>
    <t>210P</t>
    <phoneticPr fontId="1" type="noConversion"/>
  </si>
  <si>
    <t>172P</t>
    <phoneticPr fontId="1" type="noConversion"/>
  </si>
  <si>
    <t>* CO2?
* clear H2O morphology</t>
    <phoneticPr fontId="1" type="noConversion"/>
  </si>
  <si>
    <t>164P</t>
    <phoneticPr fontId="1" type="noConversion"/>
  </si>
  <si>
    <t>* clear H2O morphology</t>
    <phoneticPr fontId="1" type="noConversion"/>
  </si>
  <si>
    <t>131P</t>
    <phoneticPr fontId="1" type="noConversion"/>
  </si>
  <si>
    <t>* H2O?</t>
    <phoneticPr fontId="1" type="noConversion"/>
  </si>
  <si>
    <t>124P</t>
    <phoneticPr fontId="1" type="noConversion"/>
  </si>
  <si>
    <t>78P</t>
    <phoneticPr fontId="1" type="noConversion"/>
  </si>
  <si>
    <t>63P</t>
    <phoneticPr fontId="1" type="noConversion"/>
  </si>
  <si>
    <t>* clear H2O &amp; CO2 morphology</t>
    <phoneticPr fontId="1" type="noConversion"/>
  </si>
  <si>
    <t>48P</t>
    <phoneticPr fontId="1" type="noConversion"/>
  </si>
  <si>
    <t>* clear H2O &amp; CO2 emission
* clear thermal emission</t>
    <phoneticPr fontId="1" type="noConversion"/>
  </si>
  <si>
    <t>2025 UX109</t>
    <phoneticPr fontId="1" type="noConversion"/>
  </si>
  <si>
    <t>* only CO2 emission</t>
    <phoneticPr fontId="1" type="noConversion"/>
  </si>
  <si>
    <t>2025 Q3</t>
    <phoneticPr fontId="1" type="noConversion"/>
  </si>
  <si>
    <t>* deviated from the image center</t>
    <phoneticPr fontId="1" type="noConversion"/>
  </si>
  <si>
    <t>* very clear dust continuum
* water ice feature</t>
    <phoneticPr fontId="1" type="noConversion"/>
  </si>
  <si>
    <t xml:space="preserve"> * many data points</t>
    <phoneticPr fontId="1" type="noConversion"/>
  </si>
  <si>
    <t>* water ice?</t>
    <phoneticPr fontId="1" type="noConversion"/>
  </si>
  <si>
    <t>* H2O, CO2, CO emission
* very clear CO morphology
* water ice?</t>
    <phoneticPr fontId="1" type="noConversion"/>
  </si>
  <si>
    <t>2024 G7</t>
    <phoneticPr fontId="1" type="noConversion"/>
  </si>
  <si>
    <t>2024 G4</t>
    <phoneticPr fontId="1" type="noConversion"/>
  </si>
  <si>
    <t>* many data points</t>
    <phoneticPr fontId="1" type="noConversion"/>
  </si>
  <si>
    <t>* water ice feature</t>
    <phoneticPr fontId="1" type="noConversion"/>
  </si>
  <si>
    <t>* very clear CO2 morphology
* water ice feature</t>
    <phoneticPr fontId="1" type="noConversion"/>
  </si>
  <si>
    <t>* clear dust morphology
* water ice feature</t>
    <phoneticPr fontId="1" type="noConversion"/>
  </si>
  <si>
    <t>* clear CO2 morphology
* water ice feature</t>
    <phoneticPr fontId="1" type="noConversion"/>
  </si>
  <si>
    <t>water ice feature</t>
    <phoneticPr fontId="1" type="noConversion"/>
  </si>
  <si>
    <t>h2o ice</t>
    <phoneticPr fontId="1" type="noConversion"/>
  </si>
  <si>
    <t>* clear dust morphology
* clear CO2 emission
* clear water ice feature</t>
    <phoneticPr fontId="1" type="noConversion"/>
  </si>
  <si>
    <t>* faint
* thermal?</t>
    <phoneticPr fontId="1" type="noConversion"/>
  </si>
  <si>
    <t>493P</t>
    <phoneticPr fontId="1" type="noConversion"/>
  </si>
  <si>
    <t>491P</t>
    <phoneticPr fontId="1" type="noConversion"/>
  </si>
  <si>
    <t>235P</t>
    <phoneticPr fontId="1" type="noConversion"/>
  </si>
  <si>
    <t>40P</t>
    <phoneticPr fontId="1" type="noConversion"/>
  </si>
  <si>
    <t>Total</t>
    <phoneticPr fontId="1" type="noConversion"/>
  </si>
  <si>
    <t>ground_based data</t>
    <phoneticPr fontId="1" type="noConversion"/>
  </si>
  <si>
    <t>161P</t>
    <phoneticPr fontId="1" type="noConversion"/>
  </si>
  <si>
    <t>* Halley-type comet</t>
    <phoneticPr fontId="1" type="noConversion"/>
  </si>
  <si>
    <t>* clear dust morphology
* No H2O, CO2 emission</t>
    <phoneticPr fontId="1" type="noConversion"/>
  </si>
  <si>
    <t>* water ice? Not likely. 
Very contaminated by nearby stars</t>
    <phoneticPr fontId="1" type="noConversion"/>
  </si>
  <si>
    <t>2025 M2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</si>
</sst>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9C80-EBC9-A449-8BB1-41A7896E9268}">
  <dimension ref="A1:P72"/>
  <sheetViews>
    <sheetView tabSelected="1" zoomScale="91" workbookViewId="0">
      <selection activeCell="H53" sqref="H53"/>
    </sheetView>
  </sheetViews>
  <sheetFormatPr baseColWidth="10" defaultRowHeight="18"/>
  <cols>
    <col min="2" max="2" width="10.7109375" style="2"/>
    <col min="3" max="3" width="10.5703125" customWidth="1"/>
    <col min="6" max="6" width="12" style="1" customWidth="1"/>
    <col min="8" max="8" width="10" customWidth="1"/>
    <col min="11" max="11" width="11.7109375" customWidth="1"/>
    <col min="12" max="12" width="19" customWidth="1"/>
    <col min="13" max="13" width="27.28515625" customWidth="1"/>
  </cols>
  <sheetData>
    <row r="1" spans="2:16" ht="64" customHeight="1">
      <c r="B1" s="4" t="s">
        <v>0</v>
      </c>
      <c r="C1" s="4" t="s">
        <v>37</v>
      </c>
      <c r="D1" s="4" t="s">
        <v>46</v>
      </c>
      <c r="E1" s="4" t="s">
        <v>42</v>
      </c>
      <c r="F1" s="5" t="s">
        <v>38</v>
      </c>
      <c r="G1" s="4" t="s">
        <v>40</v>
      </c>
      <c r="H1" s="4" t="s">
        <v>39</v>
      </c>
      <c r="I1" s="4" t="s">
        <v>45</v>
      </c>
      <c r="J1" s="4" t="s">
        <v>93</v>
      </c>
      <c r="K1" s="4" t="s">
        <v>3</v>
      </c>
      <c r="L1" s="4" t="s">
        <v>101</v>
      </c>
      <c r="M1" s="4" t="s">
        <v>41</v>
      </c>
    </row>
    <row r="2" spans="2:16">
      <c r="B2" s="2" t="s">
        <v>1</v>
      </c>
      <c r="C2" s="2"/>
      <c r="G2">
        <v>1</v>
      </c>
      <c r="L2">
        <v>1</v>
      </c>
    </row>
    <row r="3" spans="2:16">
      <c r="B3" s="2" t="s">
        <v>6</v>
      </c>
      <c r="G3">
        <v>1</v>
      </c>
      <c r="K3">
        <v>1</v>
      </c>
      <c r="L3">
        <v>1</v>
      </c>
    </row>
    <row r="4" spans="2:16">
      <c r="B4" s="2" t="s">
        <v>2</v>
      </c>
      <c r="F4" s="1">
        <v>1</v>
      </c>
      <c r="G4">
        <v>1</v>
      </c>
      <c r="I4">
        <v>1</v>
      </c>
      <c r="K4">
        <v>1</v>
      </c>
      <c r="L4">
        <v>1</v>
      </c>
    </row>
    <row r="5" spans="2:16">
      <c r="B5" s="2" t="s">
        <v>4</v>
      </c>
      <c r="G5">
        <v>1</v>
      </c>
      <c r="H5">
        <v>1</v>
      </c>
      <c r="I5">
        <v>1</v>
      </c>
      <c r="L5">
        <v>1</v>
      </c>
    </row>
    <row r="6" spans="2:16">
      <c r="B6" s="2" t="s">
        <v>99</v>
      </c>
      <c r="G6">
        <v>1</v>
      </c>
      <c r="I6">
        <v>1</v>
      </c>
    </row>
    <row r="7" spans="2:16">
      <c r="B7" s="2" t="s">
        <v>5</v>
      </c>
      <c r="C7" s="2"/>
      <c r="D7" s="2"/>
      <c r="E7" s="2"/>
      <c r="F7">
        <v>1</v>
      </c>
      <c r="G7">
        <v>1</v>
      </c>
      <c r="I7">
        <v>1</v>
      </c>
      <c r="J7">
        <v>0.5</v>
      </c>
      <c r="K7">
        <v>0.5</v>
      </c>
      <c r="L7">
        <v>0.5</v>
      </c>
    </row>
    <row r="8" spans="2:16">
      <c r="B8" s="2" t="s">
        <v>7</v>
      </c>
      <c r="F8" s="1">
        <v>0.5</v>
      </c>
      <c r="G8">
        <v>1</v>
      </c>
      <c r="I8">
        <v>1</v>
      </c>
      <c r="K8">
        <v>0.5</v>
      </c>
      <c r="L8">
        <v>0.5</v>
      </c>
      <c r="N8" s="2"/>
      <c r="O8" s="2"/>
      <c r="P8" s="2"/>
    </row>
    <row r="9" spans="2:16">
      <c r="B9" s="2" t="s">
        <v>75</v>
      </c>
      <c r="F9" s="1">
        <v>1</v>
      </c>
      <c r="G9">
        <v>1</v>
      </c>
      <c r="I9">
        <v>1</v>
      </c>
      <c r="J9">
        <v>1</v>
      </c>
      <c r="K9">
        <v>1</v>
      </c>
    </row>
    <row r="10" spans="2:16" s="2" customFormat="1">
      <c r="B10" s="2" t="s">
        <v>73</v>
      </c>
      <c r="C10"/>
      <c r="D10"/>
      <c r="E10"/>
      <c r="F10" s="1">
        <v>1</v>
      </c>
      <c r="G10">
        <v>1</v>
      </c>
      <c r="H10"/>
      <c r="I10">
        <v>1</v>
      </c>
      <c r="J10"/>
      <c r="K10"/>
      <c r="L10">
        <v>0.5</v>
      </c>
      <c r="M10" t="s">
        <v>74</v>
      </c>
      <c r="N10"/>
      <c r="O10"/>
      <c r="P10"/>
    </row>
    <row r="11" spans="2:16">
      <c r="B11" s="2" t="s">
        <v>72</v>
      </c>
      <c r="G11">
        <v>1</v>
      </c>
      <c r="L11">
        <v>1</v>
      </c>
    </row>
    <row r="12" spans="2:16">
      <c r="B12" s="2" t="s">
        <v>71</v>
      </c>
      <c r="F12" s="1">
        <v>1</v>
      </c>
      <c r="G12">
        <v>0.5</v>
      </c>
      <c r="I12">
        <v>1</v>
      </c>
      <c r="K12">
        <v>1</v>
      </c>
      <c r="L12">
        <v>1</v>
      </c>
    </row>
    <row r="13" spans="2:16">
      <c r="B13" s="2" t="s">
        <v>69</v>
      </c>
      <c r="M13" t="s">
        <v>70</v>
      </c>
    </row>
    <row r="14" spans="2:16">
      <c r="B14" s="2" t="s">
        <v>8</v>
      </c>
      <c r="C14" s="2"/>
      <c r="D14" s="2"/>
      <c r="E14" s="2"/>
      <c r="F14">
        <v>1</v>
      </c>
      <c r="G14">
        <v>1</v>
      </c>
      <c r="K14">
        <v>0.5</v>
      </c>
      <c r="M14" t="s">
        <v>68</v>
      </c>
    </row>
    <row r="15" spans="2:16">
      <c r="B15" s="2" t="s">
        <v>102</v>
      </c>
      <c r="C15" s="2"/>
      <c r="D15" s="2"/>
      <c r="E15" s="2"/>
      <c r="F15"/>
      <c r="G15">
        <v>1</v>
      </c>
      <c r="L15">
        <v>1</v>
      </c>
      <c r="M15" t="s">
        <v>103</v>
      </c>
    </row>
    <row r="16" spans="2:16">
      <c r="B16" s="2" t="s">
        <v>67</v>
      </c>
      <c r="F16" s="1">
        <v>1</v>
      </c>
      <c r="G16">
        <v>1</v>
      </c>
      <c r="I16">
        <v>1</v>
      </c>
      <c r="N16" s="2"/>
    </row>
    <row r="17" spans="2:16" ht="38">
      <c r="B17" s="2" t="s">
        <v>9</v>
      </c>
      <c r="F17" s="1">
        <v>1</v>
      </c>
      <c r="M17" s="1" t="s">
        <v>66</v>
      </c>
    </row>
    <row r="18" spans="2:16">
      <c r="B18" s="2" t="s">
        <v>65</v>
      </c>
      <c r="M18" t="s">
        <v>62</v>
      </c>
    </row>
    <row r="19" spans="2:16">
      <c r="B19" s="2" t="s">
        <v>64</v>
      </c>
      <c r="C19" s="2"/>
      <c r="F19" s="1">
        <v>1</v>
      </c>
      <c r="I19">
        <v>1</v>
      </c>
      <c r="L19">
        <v>1</v>
      </c>
      <c r="N19" s="2"/>
      <c r="O19" s="2"/>
      <c r="P19" s="2"/>
    </row>
    <row r="20" spans="2:16">
      <c r="B20" s="2" t="s">
        <v>63</v>
      </c>
      <c r="F20" s="1">
        <v>1</v>
      </c>
      <c r="G20">
        <v>1</v>
      </c>
      <c r="K20">
        <v>0.5</v>
      </c>
      <c r="L20">
        <v>1</v>
      </c>
    </row>
    <row r="21" spans="2:16" s="2" customFormat="1">
      <c r="B21" s="2" t="s">
        <v>10</v>
      </c>
      <c r="C21"/>
      <c r="D21"/>
      <c r="E21"/>
      <c r="F21" s="1"/>
      <c r="G21"/>
      <c r="H21"/>
      <c r="I21"/>
      <c r="J21"/>
      <c r="K21"/>
      <c r="L21"/>
      <c r="M21" t="s">
        <v>62</v>
      </c>
      <c r="N21"/>
      <c r="O21"/>
      <c r="P21"/>
    </row>
    <row r="22" spans="2:16">
      <c r="B22" s="2" t="s">
        <v>98</v>
      </c>
      <c r="F22" s="1">
        <v>1</v>
      </c>
      <c r="G22">
        <v>1</v>
      </c>
      <c r="K22">
        <v>1</v>
      </c>
    </row>
    <row r="23" spans="2:16">
      <c r="B23" s="2" t="s">
        <v>11</v>
      </c>
      <c r="C23" s="2"/>
      <c r="D23" s="2"/>
      <c r="E23" s="2"/>
      <c r="F23" s="1">
        <v>1</v>
      </c>
      <c r="G23">
        <v>1</v>
      </c>
      <c r="I23" s="2"/>
      <c r="J23">
        <v>0.5</v>
      </c>
      <c r="K23" s="2"/>
      <c r="L23">
        <v>1</v>
      </c>
      <c r="M23" t="s">
        <v>61</v>
      </c>
      <c r="O23" s="2"/>
      <c r="P23" s="2"/>
    </row>
    <row r="24" spans="2:16">
      <c r="B24" s="2" t="s">
        <v>60</v>
      </c>
      <c r="F24" s="1">
        <v>1</v>
      </c>
      <c r="G24">
        <v>1</v>
      </c>
      <c r="K24">
        <v>0.5</v>
      </c>
    </row>
    <row r="25" spans="2:16" s="2" customFormat="1">
      <c r="B25" s="2" t="s">
        <v>12</v>
      </c>
      <c r="C25"/>
      <c r="D25"/>
      <c r="E25"/>
      <c r="F25" s="1"/>
      <c r="G25">
        <v>1</v>
      </c>
      <c r="H25"/>
      <c r="I25">
        <v>1</v>
      </c>
      <c r="J25">
        <v>0.5</v>
      </c>
      <c r="K25"/>
      <c r="L25">
        <v>0.5</v>
      </c>
      <c r="M25" t="s">
        <v>62</v>
      </c>
      <c r="N25"/>
      <c r="O25"/>
      <c r="P25"/>
    </row>
    <row r="26" spans="2:16">
      <c r="B26" s="2" t="s">
        <v>13</v>
      </c>
      <c r="F26" s="1">
        <v>1</v>
      </c>
      <c r="I26">
        <v>1</v>
      </c>
      <c r="K26">
        <v>1</v>
      </c>
      <c r="N26" s="2"/>
    </row>
    <row r="27" spans="2:16">
      <c r="B27" s="2" t="s">
        <v>14</v>
      </c>
      <c r="F27" s="1">
        <v>1</v>
      </c>
      <c r="G27">
        <v>1</v>
      </c>
      <c r="L27">
        <v>1</v>
      </c>
    </row>
    <row r="28" spans="2:16">
      <c r="B28" s="2" t="s">
        <v>97</v>
      </c>
      <c r="G28">
        <v>1</v>
      </c>
      <c r="I28">
        <v>0.5</v>
      </c>
    </row>
    <row r="29" spans="2:16">
      <c r="B29" s="2" t="s">
        <v>96</v>
      </c>
      <c r="C29" s="2"/>
      <c r="D29" s="2"/>
      <c r="E29" s="2"/>
      <c r="F29" s="3"/>
      <c r="G29">
        <v>1</v>
      </c>
      <c r="H29" s="2"/>
      <c r="I29" s="2"/>
      <c r="J29" s="2"/>
      <c r="K29" s="2"/>
      <c r="L29">
        <v>0.5</v>
      </c>
      <c r="N29" s="2"/>
    </row>
    <row r="30" spans="2:16">
      <c r="B30" s="2" t="s">
        <v>15</v>
      </c>
      <c r="F30" s="1">
        <v>1</v>
      </c>
      <c r="K30">
        <v>1</v>
      </c>
    </row>
    <row r="31" spans="2:16" ht="38">
      <c r="B31" s="2" t="s">
        <v>59</v>
      </c>
      <c r="F31" s="1">
        <v>1</v>
      </c>
      <c r="K31">
        <v>1</v>
      </c>
      <c r="M31" s="1" t="s">
        <v>95</v>
      </c>
    </row>
    <row r="32" spans="2:16">
      <c r="B32" s="2" t="s">
        <v>16</v>
      </c>
    </row>
    <row r="33" spans="2:13">
      <c r="B33" s="2" t="s">
        <v>58</v>
      </c>
    </row>
    <row r="34" spans="2:13" ht="57">
      <c r="B34" s="2" t="s">
        <v>17</v>
      </c>
      <c r="G34">
        <v>1</v>
      </c>
      <c r="I34">
        <v>1</v>
      </c>
      <c r="J34">
        <v>1</v>
      </c>
      <c r="L34">
        <v>0.5</v>
      </c>
      <c r="M34" s="1" t="s">
        <v>94</v>
      </c>
    </row>
    <row r="35" spans="2:13">
      <c r="B35" s="2" t="s">
        <v>18</v>
      </c>
      <c r="I35">
        <v>1</v>
      </c>
      <c r="J35">
        <v>1</v>
      </c>
      <c r="L35">
        <v>1</v>
      </c>
      <c r="M35" t="s">
        <v>92</v>
      </c>
    </row>
    <row r="36" spans="2:13" ht="38">
      <c r="B36" s="2" t="s">
        <v>19</v>
      </c>
      <c r="G36">
        <v>1</v>
      </c>
      <c r="I36">
        <v>1</v>
      </c>
      <c r="J36">
        <v>1</v>
      </c>
      <c r="L36">
        <v>0.5</v>
      </c>
      <c r="M36" s="1" t="s">
        <v>91</v>
      </c>
    </row>
    <row r="37" spans="2:13" ht="38">
      <c r="B37" s="2" t="s">
        <v>20</v>
      </c>
      <c r="G37">
        <v>1</v>
      </c>
      <c r="I37">
        <v>1</v>
      </c>
      <c r="J37">
        <v>1</v>
      </c>
      <c r="L37">
        <v>1</v>
      </c>
      <c r="M37" s="1" t="s">
        <v>90</v>
      </c>
    </row>
    <row r="38" spans="2:13">
      <c r="B38" s="2" t="s">
        <v>57</v>
      </c>
      <c r="C38" s="2"/>
      <c r="D38" s="2"/>
      <c r="E38" s="2"/>
      <c r="F38" s="3"/>
      <c r="G38" s="2"/>
      <c r="H38" s="2"/>
      <c r="I38" s="2"/>
      <c r="J38" s="2"/>
      <c r="K38" s="2"/>
    </row>
    <row r="39" spans="2:13">
      <c r="B39" s="2" t="s">
        <v>56</v>
      </c>
      <c r="G39">
        <v>1</v>
      </c>
      <c r="I39">
        <v>1</v>
      </c>
      <c r="J39">
        <v>1</v>
      </c>
      <c r="L39">
        <v>1</v>
      </c>
      <c r="M39" t="s">
        <v>88</v>
      </c>
    </row>
    <row r="40" spans="2:13">
      <c r="B40" s="2" t="s">
        <v>21</v>
      </c>
      <c r="G40">
        <v>1</v>
      </c>
    </row>
    <row r="41" spans="2:13">
      <c r="B41" s="2" t="s">
        <v>22</v>
      </c>
      <c r="G41">
        <v>1</v>
      </c>
      <c r="I41">
        <v>1</v>
      </c>
      <c r="M41" t="s">
        <v>55</v>
      </c>
    </row>
    <row r="42" spans="2:13">
      <c r="B42" s="2" t="s">
        <v>54</v>
      </c>
      <c r="L42">
        <v>1</v>
      </c>
    </row>
    <row r="43" spans="2:13" ht="38">
      <c r="B43" s="2" t="s">
        <v>23</v>
      </c>
      <c r="F43" s="1">
        <v>0</v>
      </c>
      <c r="G43">
        <v>0</v>
      </c>
      <c r="I43">
        <v>1</v>
      </c>
      <c r="L43">
        <v>0.5</v>
      </c>
      <c r="M43" s="1" t="s">
        <v>104</v>
      </c>
    </row>
    <row r="44" spans="2:13" ht="38">
      <c r="B44" s="2" t="s">
        <v>52</v>
      </c>
      <c r="G44">
        <v>1</v>
      </c>
      <c r="J44">
        <v>1</v>
      </c>
      <c r="L44">
        <v>1</v>
      </c>
      <c r="M44" s="1" t="s">
        <v>89</v>
      </c>
    </row>
    <row r="45" spans="2:13">
      <c r="B45" s="2" t="s">
        <v>51</v>
      </c>
    </row>
    <row r="46" spans="2:13">
      <c r="B46" s="2" t="s">
        <v>24</v>
      </c>
      <c r="J46">
        <v>1</v>
      </c>
      <c r="M46" t="s">
        <v>88</v>
      </c>
    </row>
    <row r="47" spans="2:13">
      <c r="B47" s="2" t="s">
        <v>25</v>
      </c>
      <c r="I47">
        <v>1</v>
      </c>
    </row>
    <row r="48" spans="2:13" ht="16" customHeight="1">
      <c r="B48" s="2" t="s">
        <v>26</v>
      </c>
      <c r="G48">
        <v>1</v>
      </c>
      <c r="I48">
        <v>1</v>
      </c>
      <c r="L48">
        <v>1</v>
      </c>
      <c r="M48" t="s">
        <v>87</v>
      </c>
    </row>
    <row r="49" spans="2:13">
      <c r="B49" s="2" t="s">
        <v>50</v>
      </c>
      <c r="G49">
        <v>1</v>
      </c>
      <c r="I49">
        <v>1</v>
      </c>
      <c r="L49">
        <v>1</v>
      </c>
    </row>
    <row r="50" spans="2:13">
      <c r="B50" s="2" t="s">
        <v>27</v>
      </c>
      <c r="F50" s="1">
        <v>1</v>
      </c>
      <c r="G50">
        <v>1</v>
      </c>
      <c r="I50">
        <v>1</v>
      </c>
      <c r="L50">
        <v>1</v>
      </c>
      <c r="M50" t="s">
        <v>80</v>
      </c>
    </row>
    <row r="51" spans="2:13">
      <c r="B51" s="2" t="s">
        <v>86</v>
      </c>
      <c r="I51">
        <v>1</v>
      </c>
    </row>
    <row r="52" spans="2:13" ht="57">
      <c r="B52" s="2" t="s">
        <v>85</v>
      </c>
      <c r="J52">
        <v>0.5</v>
      </c>
      <c r="M52" s="1" t="s">
        <v>105</v>
      </c>
    </row>
    <row r="53" spans="2:13" ht="57">
      <c r="B53" s="2" t="s">
        <v>28</v>
      </c>
      <c r="F53" s="1">
        <v>1</v>
      </c>
      <c r="G53">
        <v>1</v>
      </c>
      <c r="H53">
        <v>1</v>
      </c>
      <c r="J53">
        <v>0.5</v>
      </c>
      <c r="M53" s="1" t="s">
        <v>84</v>
      </c>
    </row>
    <row r="54" spans="2:13">
      <c r="B54" s="2" t="s">
        <v>47</v>
      </c>
      <c r="L54">
        <v>1</v>
      </c>
    </row>
    <row r="55" spans="2:13">
      <c r="B55" s="2" t="s">
        <v>48</v>
      </c>
      <c r="G55">
        <v>1</v>
      </c>
      <c r="I55">
        <v>1</v>
      </c>
      <c r="J55">
        <v>0.5</v>
      </c>
      <c r="L55">
        <v>1</v>
      </c>
      <c r="M55" t="s">
        <v>83</v>
      </c>
    </row>
    <row r="56" spans="2:13">
      <c r="B56" s="2" t="s">
        <v>49</v>
      </c>
      <c r="G56">
        <v>0.5</v>
      </c>
      <c r="M56" t="s">
        <v>82</v>
      </c>
    </row>
    <row r="57" spans="2:13" ht="38">
      <c r="B57" s="2" t="s">
        <v>29</v>
      </c>
      <c r="G57">
        <v>1</v>
      </c>
      <c r="I57">
        <v>1</v>
      </c>
      <c r="J57">
        <v>1</v>
      </c>
      <c r="M57" s="1" t="s">
        <v>81</v>
      </c>
    </row>
    <row r="58" spans="2:13">
      <c r="B58" s="2" t="s">
        <v>30</v>
      </c>
    </row>
    <row r="59" spans="2:13">
      <c r="B59" s="2" t="s">
        <v>44</v>
      </c>
      <c r="G59">
        <v>1</v>
      </c>
      <c r="H59">
        <v>1</v>
      </c>
      <c r="I59">
        <v>1</v>
      </c>
    </row>
    <row r="60" spans="2:13">
      <c r="B60" s="2" t="s">
        <v>43</v>
      </c>
      <c r="K60">
        <v>1</v>
      </c>
      <c r="L60">
        <v>1</v>
      </c>
      <c r="M60" t="s">
        <v>80</v>
      </c>
    </row>
    <row r="61" spans="2:13">
      <c r="B61" s="2" t="s">
        <v>31</v>
      </c>
      <c r="F61" s="1">
        <v>1</v>
      </c>
      <c r="G61">
        <v>1</v>
      </c>
      <c r="K61">
        <v>0.5</v>
      </c>
      <c r="L61">
        <v>1</v>
      </c>
      <c r="M61" t="s">
        <v>53</v>
      </c>
    </row>
    <row r="62" spans="2:13">
      <c r="B62" s="2" t="s">
        <v>32</v>
      </c>
      <c r="G62">
        <v>1</v>
      </c>
    </row>
    <row r="63" spans="2:13">
      <c r="B63" s="2" t="s">
        <v>106</v>
      </c>
      <c r="F63" s="1">
        <v>0.5</v>
      </c>
      <c r="L63">
        <v>1</v>
      </c>
    </row>
    <row r="64" spans="2:13">
      <c r="B64" s="2" t="s">
        <v>33</v>
      </c>
      <c r="G64">
        <v>1</v>
      </c>
      <c r="M64" t="s">
        <v>78</v>
      </c>
    </row>
    <row r="65" spans="1:13">
      <c r="B65" s="2" t="s">
        <v>79</v>
      </c>
      <c r="I65">
        <v>1</v>
      </c>
      <c r="L65">
        <v>1</v>
      </c>
    </row>
    <row r="66" spans="1:13">
      <c r="B66" s="2" t="s">
        <v>34</v>
      </c>
      <c r="F66" s="1">
        <v>1</v>
      </c>
      <c r="G66">
        <v>1</v>
      </c>
      <c r="L66">
        <v>0.5</v>
      </c>
    </row>
    <row r="67" spans="1:13">
      <c r="B67" s="2" t="s">
        <v>35</v>
      </c>
      <c r="G67">
        <v>1</v>
      </c>
      <c r="L67">
        <v>0.5</v>
      </c>
    </row>
    <row r="68" spans="1:13">
      <c r="B68" s="2" t="s">
        <v>77</v>
      </c>
      <c r="G68">
        <v>1</v>
      </c>
      <c r="L68">
        <v>1</v>
      </c>
      <c r="M68" t="s">
        <v>78</v>
      </c>
    </row>
    <row r="69" spans="1:13" ht="38">
      <c r="B69" s="2" t="s">
        <v>36</v>
      </c>
      <c r="F69" s="1">
        <v>1</v>
      </c>
      <c r="G69">
        <v>1</v>
      </c>
      <c r="K69">
        <v>1</v>
      </c>
      <c r="M69" s="1" t="s">
        <v>76</v>
      </c>
    </row>
    <row r="72" spans="1:13">
      <c r="A72" s="2" t="s">
        <v>100</v>
      </c>
      <c r="B72" s="2">
        <f>COUNTA(B2:B69)</f>
        <v>68</v>
      </c>
      <c r="F72" s="3">
        <f t="shared" ref="F72:L72" si="0">SUM(F2:F69)</f>
        <v>23</v>
      </c>
      <c r="G72" s="3">
        <f t="shared" si="0"/>
        <v>43</v>
      </c>
      <c r="H72" s="3">
        <f t="shared" si="0"/>
        <v>3</v>
      </c>
      <c r="I72" s="3">
        <f t="shared" si="0"/>
        <v>28.5</v>
      </c>
      <c r="J72" s="3">
        <f t="shared" si="0"/>
        <v>12</v>
      </c>
      <c r="K72" s="3">
        <f t="shared" si="0"/>
        <v>13</v>
      </c>
      <c r="L72" s="1">
        <f t="shared" si="0"/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임범후</dc:creator>
  <cp:lastModifiedBy>임범후</cp:lastModifiedBy>
  <dcterms:created xsi:type="dcterms:W3CDTF">2026-03-25T08:46:43Z</dcterms:created>
  <dcterms:modified xsi:type="dcterms:W3CDTF">2026-08-27T03:58:17Z</dcterms:modified>
</cp:coreProperties>
</file>